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\Desktop\Workspace\Desafio 2 TOTVS\"/>
    </mc:Choice>
  </mc:AlternateContent>
  <xr:revisionPtr revIDLastSave="0" documentId="13_ncr:1_{7EE8F922-90FE-4054-BE4A-0120EC2A8F24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alesTable">Tabela1[]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5" i="3" l="1"/>
  <c r="F34" i="3"/>
  <c r="F24" i="3"/>
</calcChain>
</file>

<file path=xl/sharedStrings.xml><?xml version="1.0" encoding="utf-8"?>
<sst xmlns="http://schemas.openxmlformats.org/spreadsheetml/2006/main" count="2034" uniqueCount="323">
  <si>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</si>
  <si>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</si>
  <si>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</si>
  <si>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</si>
  <si>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</si>
  <si>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</si>
  <si>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</si>
  <si>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</si>
  <si>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</si>
  <si>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</si>
  <si>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</si>
  <si>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</si>
  <si>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</si>
  <si>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</si>
  <si>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</si>
  <si>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</si>
  <si>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</si>
  <si>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</si>
  <si>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</si>
  <si>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</si>
  <si>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</si>
  <si>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</si>
  <si>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</si>
  <si>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</si>
  <si>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</si>
  <si>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</si>
  <si>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</si>
  <si>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</si>
  <si>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</si>
  <si>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</si>
  <si>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</si>
  <si>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</si>
  <si>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</si>
  <si>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</si>
  <si>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</si>
  <si>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</si>
  <si>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</si>
  <si>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</si>
  <si>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</si>
  <si>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</si>
  <si>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</si>
  <si>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</si>
  <si>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</si>
  <si>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</si>
  <si>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</si>
  <si>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</si>
  <si>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</si>
  <si>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</si>
  <si>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</si>
  <si>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</si>
  <si>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</si>
  <si>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</si>
  <si>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</si>
  <si>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</si>
  <si>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</si>
  <si>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</si>
  <si>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</si>
  <si>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</si>
  <si>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</si>
  <si>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</si>
  <si>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</si>
  <si>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</si>
  <si>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</si>
  <si>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</si>
  <si>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</si>
  <si>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</si>
  <si>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</si>
  <si>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</si>
  <si>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</si>
  <si>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</si>
  <si>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</si>
  <si>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</si>
  <si>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</si>
  <si>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</si>
  <si>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</si>
  <si>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</si>
  <si>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</si>
  <si>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</si>
  <si>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</si>
  <si>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</si>
  <si>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</si>
  <si>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</si>
  <si>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</si>
  <si>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</si>
  <si>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</si>
  <si>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</si>
  <si>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</si>
  <si>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</si>
  <si>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</si>
  <si>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</si>
  <si>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</si>
  <si>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</si>
  <si>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</si>
  <si>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</si>
  <si>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</si>
  <si>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</si>
  <si>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</si>
  <si>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</si>
  <si>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</si>
  <si>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</si>
  <si>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</si>
  <si>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</si>
  <si>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</si>
  <si>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</si>
  <si>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</si>
  <si>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</si>
  <si>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</si>
  <si>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</si>
  <si>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</si>
  <si>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</si>
  <si>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</si>
  <si>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</si>
  <si>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</si>
  <si>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</si>
  <si>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</si>
  <si>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</si>
  <si>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</si>
  <si>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</si>
  <si>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</si>
  <si>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</si>
  <si>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</si>
  <si>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</si>
  <si>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</si>
  <si>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</si>
  <si>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</si>
  <si>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</si>
  <si>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</si>
  <si>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</si>
  <si>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</si>
  <si>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</si>
  <si>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</si>
  <si>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</si>
  <si>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</si>
  <si>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</si>
  <si>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</si>
  <si>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</si>
  <si>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</si>
  <si>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</si>
  <si>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</si>
  <si>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</si>
  <si>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</si>
  <si>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</si>
  <si>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</si>
  <si>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</si>
  <si>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</si>
  <si>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</si>
  <si>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</si>
  <si>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</si>
  <si>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</si>
  <si>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</si>
  <si>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</si>
  <si>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</si>
  <si>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</si>
  <si>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</si>
  <si>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</si>
  <si>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</si>
  <si>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</si>
  <si>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</si>
  <si>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</si>
  <si>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</si>
  <si>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</si>
  <si>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</si>
  <si>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</si>
  <si>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</si>
  <si>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</si>
  <si>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</si>
  <si>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</si>
  <si>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</si>
  <si>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</si>
  <si>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</si>
  <si>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</si>
  <si>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</si>
  <si>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</si>
  <si>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</si>
  <si>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</si>
  <si>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</si>
  <si>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</si>
  <si>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</si>
  <si>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</si>
  <si>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</si>
  <si>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</si>
  <si>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</si>
  <si>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</si>
  <si>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</si>
  <si>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</si>
  <si>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</si>
  <si>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</si>
  <si>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</si>
  <si>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</si>
  <si>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</si>
  <si>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</si>
  <si>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</si>
  <si>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</si>
  <si>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</si>
  <si>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</si>
  <si>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</si>
  <si>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</si>
  <si>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</si>
  <si>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</si>
  <si>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</si>
  <si>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</si>
  <si>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</si>
  <si>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</si>
  <si>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</si>
  <si>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</si>
  <si>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</si>
  <si>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</si>
  <si>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</si>
  <si>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</si>
  <si>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</si>
  <si>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</si>
  <si>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</si>
  <si>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</si>
  <si>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</si>
  <si>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</si>
  <si>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</si>
  <si>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</si>
  <si>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</si>
  <si>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</si>
  <si>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</si>
  <si>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</si>
  <si>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</si>
  <si>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</si>
  <si>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</si>
  <si>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</si>
  <si>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</si>
  <si>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</si>
  <si>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</si>
  <si>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</si>
  <si>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</si>
  <si>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</si>
  <si>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</si>
  <si>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</si>
  <si>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</si>
  <si>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</si>
  <si>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</si>
  <si>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</si>
  <si>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</si>
  <si>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</si>
  <si>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</si>
  <si>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</si>
  <si>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</si>
  <si>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</si>
  <si>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</si>
  <si>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</si>
  <si>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</si>
  <si>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</si>
  <si>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</si>
  <si>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</si>
  <si>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</si>
  <si>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</si>
  <si>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</si>
  <si>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</si>
  <si>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</si>
  <si>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</si>
  <si>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</si>
  <si>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</si>
  <si>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</si>
  <si>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</si>
  <si>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</si>
  <si>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</si>
  <si>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</si>
  <si>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</si>
  <si>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</si>
  <si>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</si>
  <si>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</si>
  <si>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</si>
  <si>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</si>
  <si>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</si>
  <si>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</si>
  <si>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</si>
  <si>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</si>
  <si>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</si>
  <si>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</si>
  <si>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</si>
  <si>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</si>
  <si>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</si>
  <si>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</si>
  <si>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</si>
  <si>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</si>
  <si>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</si>
  <si>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</si>
  <si>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</si>
  <si>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</si>
  <si>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</si>
  <si>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</si>
  <si>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</si>
  <si>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</si>
  <si>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</si>
  <si>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</si>
  <si>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</si>
  <si>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</si>
  <si>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</si>
  <si>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</si>
  <si>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</si>
  <si>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</si>
  <si>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</si>
  <si>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</si>
  <si>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</si>
  <si>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</si>
  <si>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</si>
  <si>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</si>
  <si>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</si>
  <si>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</si>
  <si>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</si>
  <si>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</si>
  <si>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</si>
  <si>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</si>
  <si>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</si>
  <si>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</si>
  <si>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</si>
  <si>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</si>
  <si>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</si>
  <si>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</si>
  <si>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</si>
  <si>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</si>
  <si>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</si>
  <si>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</si>
  <si>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</si>
  <si>
    <t>PERIODO DE APURAÇÃO</t>
  </si>
  <si>
    <t>UPDATE DATE</t>
  </si>
  <si>
    <t>01/01/2024 - 31/12/2024</t>
  </si>
  <si>
    <t>Contagem de Subscriber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</si>
</sst>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164" fontId="0" fillId="0" borderId="0" xfId="0" applyNumberFormat="1"/>
    <xf numFmtId="0" fontId="4" fillId="4" borderId="0" xfId="0" applyFont="1" applyFill="1" applyAlignment="1">
      <alignment horizontal="center" vertical="center"/>
    </xf>
    <xf numFmtId="22" fontId="4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89"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1 2" pivot="0" table="0" count="10" xr9:uid="{BEFB1AF6-C055-41B7-9C2D-44F5D08F07AB}">
      <tableStyleElement type="wholeTable" dxfId="88"/>
      <tableStyleElement type="headerRow" dxfId="87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(1)(Recuperado Automaticamente).xlsx]C̳álculos!Tabela dinâmica2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A0-4A22-B5D3-5954FC326BD8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A0-4A22-B5D3-5954FC326B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A0-4A22-B5D3-5954FC32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7396256"/>
        <c:axId val="1037397216"/>
      </c:barChart>
      <c:catAx>
        <c:axId val="103739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397216"/>
        <c:crosses val="autoZero"/>
        <c:auto val="1"/>
        <c:lblAlgn val="ctr"/>
        <c:lblOffset val="100"/>
        <c:noMultiLvlLbl val="0"/>
      </c:catAx>
      <c:valAx>
        <c:axId val="103739721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3739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(1)(Recuperado Automaticamente).xlsx]C̳álculos!Tabela dinâmica5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C̳álculos!$B$42:$B$45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C̳álculos!$C$42:$C$45</c:f>
              <c:numCache>
                <c:formatCode>_-* #,##0_-;\-* #,##0_-;_-* "-"??_-;_-@_-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C-4109-84B5-7C5583EDA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8820912"/>
        <c:axId val="1538808432"/>
      </c:barChart>
      <c:catAx>
        <c:axId val="153882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8808432"/>
        <c:crosses val="autoZero"/>
        <c:auto val="1"/>
        <c:lblAlgn val="ctr"/>
        <c:lblOffset val="100"/>
        <c:noMultiLvlLbl val="0"/>
      </c:catAx>
      <c:valAx>
        <c:axId val="1538808432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153882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8.png"/><Relationship Id="rId7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83342</xdr:colOff>
      <xdr:row>7</xdr:row>
      <xdr:rowOff>323851</xdr:rowOff>
    </xdr:from>
    <xdr:to>
      <xdr:col>0</xdr:col>
      <xdr:colOff>1912142</xdr:colOff>
      <xdr:row>21</xdr:row>
      <xdr:rowOff>97632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CDF967C0-4028-4D91-A438-86F82CC704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2" y="1320144"/>
              <a:ext cx="1828800" cy="2609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726282</xdr:colOff>
      <xdr:row>0</xdr:row>
      <xdr:rowOff>0</xdr:rowOff>
    </xdr:from>
    <xdr:to>
      <xdr:col>0</xdr:col>
      <xdr:colOff>1285876</xdr:colOff>
      <xdr:row>6</xdr:row>
      <xdr:rowOff>47625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C49883D-D045-479C-848D-E3B9B52B2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r="73185" b="9150"/>
        <a:stretch/>
      </xdr:blipFill>
      <xdr:spPr>
        <a:xfrm>
          <a:off x="726282" y="0"/>
          <a:ext cx="559594" cy="928688"/>
        </a:xfrm>
        <a:prstGeom prst="rect">
          <a:avLst/>
        </a:prstGeom>
      </xdr:spPr>
    </xdr:pic>
    <xdr:clientData/>
  </xdr:twoCellAnchor>
  <xdr:twoCellAnchor editAs="absolute">
    <xdr:from>
      <xdr:col>0</xdr:col>
      <xdr:colOff>59532</xdr:colOff>
      <xdr:row>2</xdr:row>
      <xdr:rowOff>47626</xdr:rowOff>
    </xdr:from>
    <xdr:to>
      <xdr:col>0</xdr:col>
      <xdr:colOff>1976438</xdr:colOff>
      <xdr:row>8</xdr:row>
      <xdr:rowOff>81630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7070353-1B3F-4C5C-9F5D-53060EEBF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49" r="6996"/>
        <a:stretch/>
      </xdr:blipFill>
      <xdr:spPr>
        <a:xfrm>
          <a:off x="59532" y="476251"/>
          <a:ext cx="1916906" cy="1022223"/>
        </a:xfrm>
        <a:prstGeom prst="rect">
          <a:avLst/>
        </a:prstGeom>
      </xdr:spPr>
    </xdr:pic>
    <xdr:clientData/>
  </xdr:twoCellAnchor>
  <xdr:twoCellAnchor editAs="absolute">
    <xdr:from>
      <xdr:col>1</xdr:col>
      <xdr:colOff>119063</xdr:colOff>
      <xdr:row>1</xdr:row>
      <xdr:rowOff>345280</xdr:rowOff>
    </xdr:from>
    <xdr:to>
      <xdr:col>8</xdr:col>
      <xdr:colOff>226219</xdr:colOff>
      <xdr:row>10</xdr:row>
      <xdr:rowOff>35719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9CBEB433-F534-AA2F-F503-FAF6228F1664}"/>
            </a:ext>
          </a:extLst>
        </xdr:cNvPr>
        <xdr:cNvGrpSpPr/>
      </xdr:nvGrpSpPr>
      <xdr:grpSpPr>
        <a:xfrm>
          <a:off x="2169206" y="408780"/>
          <a:ext cx="3989727" cy="1441225"/>
          <a:chOff x="2166937" y="1154908"/>
          <a:chExt cx="3583783" cy="1166811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BA703E40-C3CB-6E66-44B9-2C962DA0A737}"/>
              </a:ext>
            </a:extLst>
          </xdr:cNvPr>
          <xdr:cNvSpPr/>
        </xdr:nvSpPr>
        <xdr:spPr>
          <a:xfrm>
            <a:off x="2166937" y="1428750"/>
            <a:ext cx="3583781" cy="89296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4">
        <xdr:nvSpPr>
          <xdr:cNvPr id="8" name="Retângulo 7">
            <a:extLst>
              <a:ext uri="{FF2B5EF4-FFF2-40B4-BE49-F238E27FC236}">
                <a16:creationId xmlns:a16="http://schemas.microsoft.com/office/drawing/2014/main" id="{B4D27968-9A02-1597-7238-93E1B0DE1A84}"/>
              </a:ext>
            </a:extLst>
          </xdr:cNvPr>
          <xdr:cNvSpPr/>
        </xdr:nvSpPr>
        <xdr:spPr>
          <a:xfrm>
            <a:off x="3024186" y="1595438"/>
            <a:ext cx="2607469" cy="67865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719D1BB-03B0-4B75-A333-62685C6243B8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983A05BE-FC1D-4FAC-A951-642A28E430F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64844" b="14063"/>
          <a:stretch/>
        </xdr:blipFill>
        <xdr:spPr>
          <a:xfrm>
            <a:off x="2428875" y="1154908"/>
            <a:ext cx="428625" cy="1047750"/>
          </a:xfrm>
          <a:prstGeom prst="rect">
            <a:avLst/>
          </a:prstGeom>
        </xdr:spPr>
      </xdr:pic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D5FE30D9-E120-4A70-8E24-21BEAA45E78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3203" t="35157" b="33594"/>
          <a:stretch/>
        </xdr:blipFill>
        <xdr:spPr>
          <a:xfrm>
            <a:off x="2274093" y="1916907"/>
            <a:ext cx="814388" cy="381000"/>
          </a:xfrm>
          <a:prstGeom prst="rect">
            <a:avLst/>
          </a:prstGeom>
        </xdr:spPr>
      </xdr:pic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5CE9F456-BEBA-95F8-A98E-EA294912EECA}"/>
              </a:ext>
            </a:extLst>
          </xdr:cNvPr>
          <xdr:cNvSpPr/>
        </xdr:nvSpPr>
        <xdr:spPr>
          <a:xfrm>
            <a:off x="2166938" y="1345406"/>
            <a:ext cx="3583782" cy="20240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EA Play Season Pass Revenue</a:t>
            </a:r>
          </a:p>
        </xdr:txBody>
      </xdr:sp>
    </xdr:grpSp>
    <xdr:clientData/>
  </xdr:twoCellAnchor>
  <xdr:twoCellAnchor>
    <xdr:from>
      <xdr:col>9</xdr:col>
      <xdr:colOff>119062</xdr:colOff>
      <xdr:row>3</xdr:row>
      <xdr:rowOff>100350</xdr:rowOff>
    </xdr:from>
    <xdr:to>
      <xdr:col>16</xdr:col>
      <xdr:colOff>23812</xdr:colOff>
      <xdr:row>10</xdr:row>
      <xdr:rowOff>35719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E6144229-144B-473E-B6A9-9CC3CCF15653}"/>
            </a:ext>
          </a:extLst>
        </xdr:cNvPr>
        <xdr:cNvGrpSpPr/>
      </xdr:nvGrpSpPr>
      <xdr:grpSpPr>
        <a:xfrm>
          <a:off x="6659562" y="644636"/>
          <a:ext cx="3986893" cy="1205369"/>
          <a:chOff x="10013156" y="2755444"/>
          <a:chExt cx="3988594" cy="1185525"/>
        </a:xfrm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98D843ED-8BC7-35DB-0A93-A23A04B4A5DA}"/>
              </a:ext>
            </a:extLst>
          </xdr:cNvPr>
          <xdr:cNvGrpSpPr/>
        </xdr:nvGrpSpPr>
        <xdr:grpSpPr>
          <a:xfrm>
            <a:off x="10013156" y="2755444"/>
            <a:ext cx="3988594" cy="1185525"/>
            <a:chOff x="2166937" y="1345406"/>
            <a:chExt cx="3583783" cy="976313"/>
          </a:xfrm>
        </xdr:grpSpPr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6B6F3215-2871-C701-6826-78BE20F48EF4}"/>
                </a:ext>
              </a:extLst>
            </xdr:cNvPr>
            <xdr:cNvSpPr/>
          </xdr:nvSpPr>
          <xdr:spPr>
            <a:xfrm>
              <a:off x="2166937" y="1428750"/>
              <a:ext cx="3583781" cy="89296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4">
          <xdr:nvSpPr>
            <xdr:cNvPr id="33" name="Retângulo 32">
              <a:extLst>
                <a:ext uri="{FF2B5EF4-FFF2-40B4-BE49-F238E27FC236}">
                  <a16:creationId xmlns:a16="http://schemas.microsoft.com/office/drawing/2014/main" id="{3133CB07-F253-3C57-0A1E-161745C49665}"/>
                </a:ext>
              </a:extLst>
            </xdr:cNvPr>
            <xdr:cNvSpPr/>
          </xdr:nvSpPr>
          <xdr:spPr>
            <a:xfrm>
              <a:off x="3024186" y="1595438"/>
              <a:ext cx="2607469" cy="678656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E97083C-A802-4EF2-83E4-28631F8B8AE3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40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34" name="Retângulo: Cantos Superiores Arredondados 33">
              <a:extLst>
                <a:ext uri="{FF2B5EF4-FFF2-40B4-BE49-F238E27FC236}">
                  <a16:creationId xmlns:a16="http://schemas.microsoft.com/office/drawing/2014/main" id="{D45B1474-555E-AB4D-A32B-5E0A58CD0F58}"/>
                </a:ext>
              </a:extLst>
            </xdr:cNvPr>
            <xdr:cNvSpPr/>
          </xdr:nvSpPr>
          <xdr:spPr>
            <a:xfrm>
              <a:off x="2166938" y="1345406"/>
              <a:ext cx="3583782" cy="20240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/>
                <a:t>Minecraft</a:t>
              </a:r>
              <a:r>
                <a:rPr lang="pt-BR" sz="1600" b="1" baseline="0"/>
                <a:t> </a:t>
              </a:r>
              <a:r>
                <a:rPr lang="pt-BR" sz="1600" b="1"/>
                <a:t>Season Pass Revenue</a:t>
              </a:r>
              <a:endParaRPr lang="pt-BR" sz="1600" b="1">
                <a:effectLst/>
              </a:endParaRPr>
            </a:p>
          </xdr:txBody>
        </xdr:sp>
      </xdr:grpSp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5420BC17-1EF0-A95C-CDBC-F924164B87C8}"/>
              </a:ext>
            </a:extLst>
          </xdr:cNvPr>
          <xdr:cNvGrpSpPr/>
        </xdr:nvGrpSpPr>
        <xdr:grpSpPr>
          <a:xfrm>
            <a:off x="10036968" y="3065004"/>
            <a:ext cx="1178719" cy="673557"/>
            <a:chOff x="3433070" y="5242496"/>
            <a:chExt cx="1549476" cy="894837"/>
          </a:xfrm>
        </xdr:grpSpPr>
        <xdr:pic>
          <xdr:nvPicPr>
            <xdr:cNvPr id="30" name="Imagem 29">
              <a:extLst>
                <a:ext uri="{FF2B5EF4-FFF2-40B4-BE49-F238E27FC236}">
                  <a16:creationId xmlns:a16="http://schemas.microsoft.com/office/drawing/2014/main" id="{245D043C-0D4F-6F41-4EC2-543BCE7735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04701" y="5242496"/>
              <a:ext cx="555497" cy="609599"/>
            </a:xfrm>
            <a:prstGeom prst="rect">
              <a:avLst/>
            </a:prstGeom>
          </xdr:spPr>
        </xdr:pic>
        <xdr:pic>
          <xdr:nvPicPr>
            <xdr:cNvPr id="31" name="Gráfico 30">
              <a:extLst>
                <a:ext uri="{FF2B5EF4-FFF2-40B4-BE49-F238E27FC236}">
                  <a16:creationId xmlns:a16="http://schemas.microsoft.com/office/drawing/2014/main" id="{D96D57C6-8DDD-5707-7753-773BCBD66B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33070" y="5880120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83344</xdr:colOff>
      <xdr:row>10</xdr:row>
      <xdr:rowOff>130969</xdr:rowOff>
    </xdr:from>
    <xdr:to>
      <xdr:col>23</xdr:col>
      <xdr:colOff>297656</xdr:colOff>
      <xdr:row>26</xdr:row>
      <xdr:rowOff>11906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8DEEE538-6044-5CB2-398F-1E3E505C22E1}"/>
            </a:ext>
          </a:extLst>
        </xdr:cNvPr>
        <xdr:cNvGrpSpPr/>
      </xdr:nvGrpSpPr>
      <xdr:grpSpPr>
        <a:xfrm>
          <a:off x="2133487" y="1945255"/>
          <a:ext cx="13041312" cy="2928937"/>
          <a:chOff x="2131219" y="1928813"/>
          <a:chExt cx="8822531" cy="3107531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25A83C62-CB53-4D46-BB9B-8688B08BE455}"/>
              </a:ext>
            </a:extLst>
          </xdr:cNvPr>
          <xdr:cNvGrpSpPr/>
        </xdr:nvGrpSpPr>
        <xdr:grpSpPr>
          <a:xfrm>
            <a:off x="2131219" y="2035969"/>
            <a:ext cx="8822531" cy="3000375"/>
            <a:chOff x="2405063" y="4464844"/>
            <a:chExt cx="5024438" cy="3309938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E2B595C3-6825-4AD5-4334-D2306703DC54}"/>
                </a:ext>
              </a:extLst>
            </xdr:cNvPr>
            <xdr:cNvSpPr/>
          </xdr:nvSpPr>
          <xdr:spPr>
            <a:xfrm>
              <a:off x="2405063" y="4464844"/>
              <a:ext cx="5024438" cy="33099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EDA53BA-7FDD-4549-B937-7DD7FB4E0F31}"/>
                </a:ext>
              </a:extLst>
            </xdr:cNvPr>
            <xdr:cNvGraphicFramePr>
              <a:graphicFrameLocks/>
            </xdr:cNvGraphicFramePr>
          </xdr:nvGraphicFramePr>
          <xdr:xfrm>
            <a:off x="2631282" y="4833936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717506F7-C9CA-4A3D-49FB-910CE4540AB6}"/>
              </a:ext>
            </a:extLst>
          </xdr:cNvPr>
          <xdr:cNvSpPr/>
        </xdr:nvSpPr>
        <xdr:spPr>
          <a:xfrm>
            <a:off x="2131219" y="1928813"/>
            <a:ext cx="8822531" cy="55959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600"/>
              <a:t>Total Revenue by Auto-Renewal</a:t>
            </a:r>
          </a:p>
        </xdr:txBody>
      </xdr:sp>
    </xdr:grpSp>
    <xdr:clientData/>
  </xdr:twoCellAnchor>
  <xdr:twoCellAnchor>
    <xdr:from>
      <xdr:col>1</xdr:col>
      <xdr:colOff>95250</xdr:colOff>
      <xdr:row>26</xdr:row>
      <xdr:rowOff>178594</xdr:rowOff>
    </xdr:from>
    <xdr:to>
      <xdr:col>23</xdr:col>
      <xdr:colOff>357188</xdr:colOff>
      <xdr:row>42</xdr:row>
      <xdr:rowOff>183356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794EB5C3-9ADE-2B4F-F94A-80C760402B0A}"/>
            </a:ext>
          </a:extLst>
        </xdr:cNvPr>
        <xdr:cNvGrpSpPr/>
      </xdr:nvGrpSpPr>
      <xdr:grpSpPr>
        <a:xfrm>
          <a:off x="2145393" y="5040880"/>
          <a:ext cx="13088938" cy="3089047"/>
          <a:chOff x="2143125" y="5024438"/>
          <a:chExt cx="8322469" cy="3052762"/>
        </a:xfrm>
      </xdr:grpSpPr>
      <xdr:sp macro="" textlink="">
        <xdr:nvSpPr>
          <xdr:cNvPr id="52" name="Retângulo: Cantos Arredondados 51">
            <a:extLst>
              <a:ext uri="{FF2B5EF4-FFF2-40B4-BE49-F238E27FC236}">
                <a16:creationId xmlns:a16="http://schemas.microsoft.com/office/drawing/2014/main" id="{1682272E-0DA4-EEF3-0B22-4FA1462154A6}"/>
              </a:ext>
            </a:extLst>
          </xdr:cNvPr>
          <xdr:cNvSpPr/>
        </xdr:nvSpPr>
        <xdr:spPr>
          <a:xfrm>
            <a:off x="2143125" y="5113529"/>
            <a:ext cx="8310562" cy="282793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3" name="Gráfico 42">
            <a:extLst>
              <a:ext uri="{FF2B5EF4-FFF2-40B4-BE49-F238E27FC236}">
                <a16:creationId xmlns:a16="http://schemas.microsoft.com/office/drawing/2014/main" id="{7DFC567C-2F64-433A-B80A-314486772744}"/>
              </a:ext>
            </a:extLst>
          </xdr:cNvPr>
          <xdr:cNvGraphicFramePr>
            <a:graphicFrameLocks/>
          </xdr:cNvGraphicFramePr>
        </xdr:nvGraphicFramePr>
        <xdr:xfrm>
          <a:off x="2500312" y="5334000"/>
          <a:ext cx="7619999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46" name="Retângulo: Cantos Superiores Arredondados 45">
            <a:extLst>
              <a:ext uri="{FF2B5EF4-FFF2-40B4-BE49-F238E27FC236}">
                <a16:creationId xmlns:a16="http://schemas.microsoft.com/office/drawing/2014/main" id="{89A0A239-388C-39E2-A951-37A044E8AF66}"/>
              </a:ext>
            </a:extLst>
          </xdr:cNvPr>
          <xdr:cNvSpPr/>
        </xdr:nvSpPr>
        <xdr:spPr>
          <a:xfrm>
            <a:off x="2155032" y="5024438"/>
            <a:ext cx="8310562" cy="5274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600"/>
              <a:t>Subscribers by Plan</a:t>
            </a:r>
          </a:p>
        </xdr:txBody>
      </xdr:sp>
    </xdr:grpSp>
    <xdr:clientData/>
  </xdr:twoCellAnchor>
  <xdr:twoCellAnchor>
    <xdr:from>
      <xdr:col>16</xdr:col>
      <xdr:colOff>509587</xdr:colOff>
      <xdr:row>3</xdr:row>
      <xdr:rowOff>86062</xdr:rowOff>
    </xdr:from>
    <xdr:to>
      <xdr:col>23</xdr:col>
      <xdr:colOff>247650</xdr:colOff>
      <xdr:row>10</xdr:row>
      <xdr:rowOff>21431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FC000E8A-9369-A301-4C39-8027BCF596B2}"/>
            </a:ext>
          </a:extLst>
        </xdr:cNvPr>
        <xdr:cNvGrpSpPr/>
      </xdr:nvGrpSpPr>
      <xdr:grpSpPr>
        <a:xfrm>
          <a:off x="11132230" y="630348"/>
          <a:ext cx="3992563" cy="1205369"/>
          <a:chOff x="2166937" y="1345406"/>
          <a:chExt cx="3583783" cy="976313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EDBC48E3-3DEF-B85B-58DF-78AF9E6430BF}"/>
              </a:ext>
            </a:extLst>
          </xdr:cNvPr>
          <xdr:cNvSpPr/>
        </xdr:nvSpPr>
        <xdr:spPr>
          <a:xfrm>
            <a:off x="2166937" y="1428750"/>
            <a:ext cx="3583781" cy="89296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45">
        <xdr:nvSpPr>
          <xdr:cNvPr id="20" name="Retângulo 19">
            <a:extLst>
              <a:ext uri="{FF2B5EF4-FFF2-40B4-BE49-F238E27FC236}">
                <a16:creationId xmlns:a16="http://schemas.microsoft.com/office/drawing/2014/main" id="{DA8191E1-F3AA-4125-6FF9-6AA1FDBF8586}"/>
              </a:ext>
            </a:extLst>
          </xdr:cNvPr>
          <xdr:cNvSpPr/>
        </xdr:nvSpPr>
        <xdr:spPr>
          <a:xfrm>
            <a:off x="2671156" y="1585633"/>
            <a:ext cx="2607469" cy="67865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750EA58-F66B-4E27-85B9-6234A93D44AE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71</a:t>
            </a:fld>
            <a:endParaRPr lang="pt-BR" sz="4000">
              <a:solidFill>
                <a:srgbClr val="22C55E"/>
              </a:solidFill>
            </a:endParaRPr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7200607B-562E-4909-E1D3-650DDFEFD4D7}"/>
              </a:ext>
            </a:extLst>
          </xdr:cNvPr>
          <xdr:cNvSpPr/>
        </xdr:nvSpPr>
        <xdr:spPr>
          <a:xfrm>
            <a:off x="2166938" y="1345406"/>
            <a:ext cx="3583782" cy="20240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Subscription Volume</a:t>
            </a:r>
          </a:p>
        </xdr:txBody>
      </xdr:sp>
    </xdr:grpSp>
    <xdr:clientData/>
  </xdr:twoCellAnchor>
  <xdr:twoCellAnchor>
    <xdr:from>
      <xdr:col>17</xdr:col>
      <xdr:colOff>247650</xdr:colOff>
      <xdr:row>7</xdr:row>
      <xdr:rowOff>2718</xdr:rowOff>
    </xdr:from>
    <xdr:to>
      <xdr:col>18</xdr:col>
      <xdr:colOff>273844</xdr:colOff>
      <xdr:row>9</xdr:row>
      <xdr:rowOff>35718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BF087738-8C68-4B29-A9CA-0EB3B4A7303E}"/>
            </a:ext>
          </a:extLst>
        </xdr:cNvPr>
        <xdr:cNvSpPr/>
      </xdr:nvSpPr>
      <xdr:spPr>
        <a:xfrm>
          <a:off x="11475244" y="1002843"/>
          <a:ext cx="633413" cy="640219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" refreshedDate="46129.139846180558" createdVersion="8" refreshedVersion="8" minRefreshableVersion="3" recordCount="295" xr:uid="{5FA64DD2-AC66-45EC-AEC3-D085FC30154D}">
  <cacheSource type="worksheet">
    <worksheetSource name="SalesTable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298433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8DBC3-2F07-4A3C-849C-537F14A3F6B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0:C2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1"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A27ED-0C10-4D7A-8D53-C51BD4F6D1B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1">
    <format dxfId="69">
      <pivotArea outline="0" collapsedLevelsAreSubtotals="1" fieldPosition="0"/>
    </format>
  </formats>
  <chartFormats count="9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0787E-9E63-4A6E-AAB9-F9BB3E8B50B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7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formats count="1"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59823-715E-4CAC-B98B-2F70DDD531CC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41:C45" firstHeaderRow="1" firstDataRow="1" firstDataCol="1" rowPageCount="1" colPageCount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Contagem de Subscriber ID" fld="0" subtotal="count" baseField="2" baseItem="0" numFmtId="164"/>
  </dataFields>
  <formats count="1">
    <format dxfId="71">
      <pivotArea outline="0" collapsedLevelsAreSubtotals="1" fieldPosition="0"/>
    </format>
  </format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ED31B-4ADC-4F01-A22A-F7C7CAC87F2A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0:C3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2" baseItem="0"/>
  </dataFields>
  <formats count="1">
    <format dxfId="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20D0359-DCCC-4B43-AF49-554EA7F876EC}" sourceName="Subscription Type">
  <pivotTables>
    <pivotTable tabId="3" name="Tabela dinâmica2"/>
    <pivotTable tabId="3" name="Tabela dinâmica3"/>
    <pivotTable tabId="3" name="Tabela dinâmica4"/>
    <pivotTable tabId="3" name="Tabela dinâmica5"/>
  </pivotTables>
  <data>
    <tabular pivotCacheId="172984331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06DDBE3-FBB2-4F73-88D9-1648BA0B1D18}" cache="SegmentaçãodeDados_Subscription_Type" caption="Subscription Type" style="SlicerStyleOther1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86">
  <autoFilter ref="A1:M296" xr:uid="{34E0E886-4200-4B36-97B3-63DB74FF40A0}"/>
  <tableColumns count="13">
    <tableColumn id="1" xr3:uid="{C4A90516-688A-46BF-9167-EA16C2A8A652}" name="Subscriber ID" dataDxfId="85"/>
    <tableColumn id="2" xr3:uid="{53DD39D0-2220-4121-9E9D-4EAA7E151C0F}" name="Name" dataDxfId="84"/>
    <tableColumn id="3" xr3:uid="{4F5FF271-4C57-4BE0-8F2C-F82C8551625C}" name="Plan" dataDxfId="83"/>
    <tableColumn id="4" xr3:uid="{8C17EB93-79B9-4E55-B8F7-BEB82F8253E9}" name="Start Date" dataDxfId="82"/>
    <tableColumn id="5" xr3:uid="{48CEDF9B-1689-482A-A828-5CCE7713264A}" name="Auto Renewal" dataDxfId="81"/>
    <tableColumn id="6" xr3:uid="{78B82374-9AA7-4E38-AE4F-78CDE6C83720}" name="Subscription Price" dataDxfId="80" dataCellStyle="Moeda"/>
    <tableColumn id="7" xr3:uid="{F2433F68-AF33-49D0-B1FB-19A396074EDE}" name="Subscription Type" dataDxfId="79"/>
    <tableColumn id="8" xr3:uid="{FD4D9C95-F6E5-4933-9068-A71FF7DF9343}" name="EA Play Season Pass" dataDxfId="78"/>
    <tableColumn id="13" xr3:uid="{978DD0D2-834E-4CE4-A39B-30976086932F}" name="EA Play Season Pass_x000a_Price" dataDxfId="77" dataCellStyle="Moeda"/>
    <tableColumn id="9" xr3:uid="{6E29F111-C395-4580-9DAD-3407D9E8B1A4}" name="Minecraft Season Pass" dataDxfId="76"/>
    <tableColumn id="10" xr3:uid="{EF544EAA-7F25-4FD5-A10E-8E62804DB9E3}" name="Minecraft Season Pass Price" dataDxfId="75" dataCellStyle="Moeda"/>
    <tableColumn id="11" xr3:uid="{7F6EB64A-1F07-4E48-9F0F-AC7D9DCD26F8}" name="Coupon Value" dataDxfId="74" dataCellStyle="Moeda"/>
    <tableColumn id="12" xr3:uid="{2B04ABC8-DE6F-426E-ADC0-D8AFC68CA58E}" name="Total Value" dataDxfId="7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U19" sqref="U1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45"/>
  <sheetViews>
    <sheetView showGridLines="0" topLeftCell="A31" zoomScaleNormal="100" workbookViewId="0">
      <selection activeCell="D56" sqref="D56"/>
    </sheetView>
  </sheetViews>
  <sheetFormatPr defaultRowHeight="15" x14ac:dyDescent="0.25"/>
  <cols>
    <col min="2" max="2" width="18.42578125" bestFit="1" customWidth="1"/>
    <col min="3" max="3" width="26.140625" bestFit="1" customWidth="1"/>
    <col min="4" max="4" width="37.710937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s="12" t="s">
        <v>313</v>
      </c>
      <c r="C3" t="s">
        <v>315</v>
      </c>
    </row>
    <row r="4" spans="2:3" x14ac:dyDescent="0.25">
      <c r="B4" s="13" t="s">
        <v>24</v>
      </c>
      <c r="C4" s="14">
        <v>1754</v>
      </c>
    </row>
    <row r="5" spans="2:3" x14ac:dyDescent="0.25">
      <c r="B5" s="13" t="s">
        <v>20</v>
      </c>
      <c r="C5" s="14">
        <v>3571</v>
      </c>
    </row>
    <row r="6" spans="2:3" x14ac:dyDescent="0.25">
      <c r="B6" s="13" t="s">
        <v>27</v>
      </c>
      <c r="C6" s="14">
        <v>2308</v>
      </c>
    </row>
    <row r="7" spans="2:3" x14ac:dyDescent="0.25">
      <c r="B7" s="13" t="s">
        <v>314</v>
      </c>
      <c r="C7" s="14">
        <v>7633</v>
      </c>
    </row>
    <row r="8" spans="2:3" x14ac:dyDescent="0.25">
      <c r="B8" s="13"/>
      <c r="C8" s="14"/>
    </row>
    <row r="9" spans="2:3" x14ac:dyDescent="0.25">
      <c r="B9" s="12" t="s">
        <v>16</v>
      </c>
      <c r="C9" t="s">
        <v>24</v>
      </c>
    </row>
    <row r="11" spans="2:3" x14ac:dyDescent="0.25">
      <c r="B11" s="12" t="s">
        <v>313</v>
      </c>
      <c r="C11" t="s">
        <v>315</v>
      </c>
    </row>
    <row r="12" spans="2:3" x14ac:dyDescent="0.25">
      <c r="B12" s="13" t="s">
        <v>23</v>
      </c>
      <c r="C12" s="14">
        <v>217</v>
      </c>
    </row>
    <row r="13" spans="2:3" x14ac:dyDescent="0.25">
      <c r="B13" s="13" t="s">
        <v>19</v>
      </c>
      <c r="C13" s="14">
        <v>1537</v>
      </c>
    </row>
    <row r="14" spans="2:3" x14ac:dyDescent="0.25">
      <c r="B14" s="13" t="s">
        <v>314</v>
      </c>
      <c r="C14" s="14">
        <v>1754</v>
      </c>
    </row>
    <row r="18" spans="2:6" x14ac:dyDescent="0.25">
      <c r="B18" s="12" t="s">
        <v>16</v>
      </c>
      <c r="C18" t="s">
        <v>24</v>
      </c>
    </row>
    <row r="20" spans="2:6" x14ac:dyDescent="0.25">
      <c r="B20" s="12" t="s">
        <v>313</v>
      </c>
      <c r="C20" t="s">
        <v>317</v>
      </c>
    </row>
    <row r="21" spans="2:6" x14ac:dyDescent="0.25">
      <c r="B21" s="13" t="s">
        <v>22</v>
      </c>
      <c r="C21" s="14">
        <v>0</v>
      </c>
    </row>
    <row r="22" spans="2:6" x14ac:dyDescent="0.25">
      <c r="B22" s="13" t="s">
        <v>26</v>
      </c>
      <c r="C22" s="14">
        <v>0</v>
      </c>
    </row>
    <row r="23" spans="2:6" x14ac:dyDescent="0.25">
      <c r="B23" s="13" t="s">
        <v>18</v>
      </c>
      <c r="C23" s="14">
        <v>600</v>
      </c>
    </row>
    <row r="24" spans="2:6" x14ac:dyDescent="0.25">
      <c r="B24" s="13" t="s">
        <v>314</v>
      </c>
      <c r="C24" s="14">
        <v>600</v>
      </c>
      <c r="F24" s="15">
        <f>GETPIVOTDATA("EA Play Season Pass
Price",$B$20)</f>
        <v>600</v>
      </c>
    </row>
    <row r="28" spans="2:6" x14ac:dyDescent="0.25">
      <c r="B28" s="12" t="s">
        <v>16</v>
      </c>
      <c r="C28" t="s">
        <v>24</v>
      </c>
    </row>
    <row r="30" spans="2:6" x14ac:dyDescent="0.25">
      <c r="B30" s="12" t="s">
        <v>313</v>
      </c>
      <c r="C30" t="s">
        <v>318</v>
      </c>
    </row>
    <row r="31" spans="2:6" x14ac:dyDescent="0.25">
      <c r="B31" s="13" t="s">
        <v>22</v>
      </c>
      <c r="C31" s="14">
        <v>0</v>
      </c>
    </row>
    <row r="32" spans="2:6" x14ac:dyDescent="0.25">
      <c r="B32" s="13" t="s">
        <v>26</v>
      </c>
      <c r="C32" s="14">
        <v>540</v>
      </c>
    </row>
    <row r="33" spans="2:6" x14ac:dyDescent="0.25">
      <c r="B33" s="13" t="s">
        <v>18</v>
      </c>
      <c r="C33" s="14">
        <v>400</v>
      </c>
    </row>
    <row r="34" spans="2:6" x14ac:dyDescent="0.25">
      <c r="B34" s="13" t="s">
        <v>314</v>
      </c>
      <c r="C34" s="14">
        <v>940</v>
      </c>
      <c r="F34" s="15">
        <f>GETPIVOTDATA("Minecraft Season Pass Price",$B$30)</f>
        <v>940</v>
      </c>
    </row>
    <row r="39" spans="2:6" x14ac:dyDescent="0.25">
      <c r="B39" s="12" t="s">
        <v>16</v>
      </c>
      <c r="C39" t="s">
        <v>24</v>
      </c>
    </row>
    <row r="41" spans="2:6" x14ac:dyDescent="0.25">
      <c r="B41" s="12" t="s">
        <v>313</v>
      </c>
      <c r="C41" t="s">
        <v>322</v>
      </c>
    </row>
    <row r="42" spans="2:6" x14ac:dyDescent="0.25">
      <c r="B42" s="13" t="s">
        <v>22</v>
      </c>
      <c r="C42" s="16">
        <v>24</v>
      </c>
    </row>
    <row r="43" spans="2:6" x14ac:dyDescent="0.25">
      <c r="B43" s="13" t="s">
        <v>26</v>
      </c>
      <c r="C43" s="16">
        <v>27</v>
      </c>
    </row>
    <row r="44" spans="2:6" x14ac:dyDescent="0.25">
      <c r="B44" s="13" t="s">
        <v>18</v>
      </c>
      <c r="C44" s="16">
        <v>20</v>
      </c>
    </row>
    <row r="45" spans="2:6" x14ac:dyDescent="0.25">
      <c r="B45" s="13" t="s">
        <v>314</v>
      </c>
      <c r="C45" s="16">
        <v>71</v>
      </c>
      <c r="F45">
        <f>GETPIVOTDATA("Subscriber ID",$B$41)</f>
        <v>71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theme="1"/>
  </sheetPr>
  <dimension ref="A1:H71"/>
  <sheetViews>
    <sheetView showGridLines="0" showRowColHeaders="0" tabSelected="1" zoomScale="105" zoomScaleNormal="105" workbookViewId="0">
      <selection activeCell="A29" sqref="A29"/>
    </sheetView>
  </sheetViews>
  <sheetFormatPr defaultRowHeight="15" x14ac:dyDescent="0.25"/>
  <cols>
    <col min="1" max="1" width="30.7109375" style="4" customWidth="1"/>
    <col min="2" max="2" width="3.5703125" customWidth="1"/>
    <col min="12" max="12" width="6.5703125" customWidth="1"/>
  </cols>
  <sheetData>
    <row r="1" spans="1:8" ht="5.25" customHeight="1" x14ac:dyDescent="0.25"/>
    <row r="2" spans="1:8" ht="27.75" customHeight="1" thickBot="1" x14ac:dyDescent="0.35">
      <c r="C2" s="1" t="s">
        <v>316</v>
      </c>
      <c r="D2" s="1"/>
      <c r="E2" s="1"/>
      <c r="F2" s="1"/>
      <c r="G2" s="1"/>
      <c r="H2" s="1"/>
    </row>
    <row r="3" spans="1:8" ht="9.75" customHeight="1" thickTop="1" x14ac:dyDescent="0.25"/>
    <row r="4" spans="1:8" s="7" customFormat="1" ht="8.25" customHeight="1" x14ac:dyDescent="0.25">
      <c r="A4" s="4"/>
    </row>
    <row r="5" spans="1:8" s="7" customFormat="1" ht="7.5" customHeight="1" x14ac:dyDescent="0.25">
      <c r="A5" s="4"/>
    </row>
    <row r="6" spans="1:8" s="7" customFormat="1" ht="10.5" customHeight="1" x14ac:dyDescent="0.25">
      <c r="A6" s="4"/>
    </row>
    <row r="7" spans="1:8" s="7" customFormat="1" ht="9.75" customHeight="1" x14ac:dyDescent="0.25">
      <c r="A7" s="4"/>
    </row>
    <row r="8" spans="1:8" s="7" customFormat="1" ht="33" customHeight="1" x14ac:dyDescent="0.25">
      <c r="A8" s="4"/>
    </row>
    <row r="9" spans="1:8" s="7" customFormat="1" x14ac:dyDescent="0.25">
      <c r="A9" s="4"/>
    </row>
    <row r="10" spans="1:8" s="7" customFormat="1" x14ac:dyDescent="0.25">
      <c r="A10" s="4"/>
    </row>
    <row r="11" spans="1:8" s="7" customFormat="1" x14ac:dyDescent="0.25">
      <c r="A11" s="4"/>
    </row>
    <row r="12" spans="1:8" s="7" customFormat="1" x14ac:dyDescent="0.25">
      <c r="A12" s="4"/>
    </row>
    <row r="13" spans="1:8" s="7" customFormat="1" x14ac:dyDescent="0.25">
      <c r="A13" s="4"/>
    </row>
    <row r="14" spans="1:8" s="7" customFormat="1" x14ac:dyDescent="0.25">
      <c r="A14" s="4"/>
    </row>
    <row r="15" spans="1:8" s="7" customFormat="1" x14ac:dyDescent="0.25">
      <c r="A15" s="4"/>
    </row>
    <row r="16" spans="1: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ht="15.75" x14ac:dyDescent="0.25">
      <c r="A39" s="17" t="s">
        <v>319</v>
      </c>
    </row>
    <row r="40" spans="1:1" s="7" customFormat="1" ht="15.75" x14ac:dyDescent="0.25">
      <c r="A40" s="18" t="s">
        <v>321</v>
      </c>
    </row>
    <row r="41" spans="1:1" s="7" customFormat="1" ht="15.75" x14ac:dyDescent="0.25">
      <c r="A41" s="17" t="s">
        <v>320</v>
      </c>
    </row>
    <row r="42" spans="1:1" s="7" customFormat="1" ht="15.75" x14ac:dyDescent="0.25">
      <c r="A42" s="18">
        <v>46129.134027777778</v>
      </c>
    </row>
    <row r="43" spans="1:1" s="7" customFormat="1" x14ac:dyDescent="0.25">
      <c r="A43" s="4"/>
    </row>
    <row r="44" spans="1:1" s="7" customFormat="1" ht="15.75" x14ac:dyDescent="0.25">
      <c r="A44" s="17"/>
    </row>
    <row r="45" spans="1:1" s="7" customFormat="1" ht="15.75" x14ac:dyDescent="0.25">
      <c r="A45" s="18"/>
    </row>
    <row r="46" spans="1:1" s="7" customFormat="1" ht="15.75" x14ac:dyDescent="0.25">
      <c r="A46" s="17"/>
    </row>
    <row r="47" spans="1:1" s="7" customFormat="1" ht="15.75" x14ac:dyDescent="0.25">
      <c r="A47" s="18"/>
    </row>
    <row r="48" spans="1:1" s="7" customFormat="1" x14ac:dyDescent="0.25">
      <c r="A48" s="19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SalesTable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Anderson  Moreira Melgar</cp:lastModifiedBy>
  <dcterms:created xsi:type="dcterms:W3CDTF">2024-12-19T13:13:10Z</dcterms:created>
  <dcterms:modified xsi:type="dcterms:W3CDTF">2026-04-17T06:58:20Z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